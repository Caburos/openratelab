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c73a02c6f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a6642cddbcb4868"/>
    <x:sheet xmlns:r="http://schemas.openxmlformats.org/officeDocument/2006/relationships" name="Audit Checklist" sheetId="2" r:id="R2480ded243244936"/>
    <x:sheet xmlns:r="http://schemas.openxmlformats.org/officeDocument/2006/relationships" name="Benchmarks &amp; Sources" sheetId="3" r:id="R3cf6ca926eab47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&quot;%&quot;"/>
  </x:numFmts>
  <x:fonts count="15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11111"/>
      <x:name val="Carlito"/>
    </x:font>
    <x:font>
      <x:sz val="11"/>
      <x:color rgb="FF111111"/>
      <x:name val="Carlito"/>
    </x:font>
    <x:font>
      <x:b/>
      <x:sz val="11"/>
      <x:color rgb="FFFFFFFF"/>
      <x:name val="Carlito"/>
    </x:font>
    <x:font>
      <x:b/>
      <x:sz val="24"/>
      <x:color rgb="FF111111"/>
      <x:name val="Carlito"/>
    </x:font>
    <x:font>
      <x:i/>
      <x:sz val="9"/>
      <x:color rgb="FF6B6B6B"/>
      <x:name val="Carlito"/>
    </x:font>
    <x:font>
      <x:b/>
      <x:sz val="13"/>
      <x:color rgb="FFD9FF4A"/>
      <x:name val="Carlito"/>
    </x:font>
    <x:font>
      <x:b/>
      <x:sz val="20"/>
      <x:color rgb="FFFFFFFF"/>
      <x:name val="Carlito"/>
    </x:font>
    <x:font>
      <x:b/>
      <x:sz val="10"/>
      <x:color rgb="FF111111"/>
      <x:name val="Carlito"/>
    </x:font>
    <x:font>
      <x:b/>
      <x:sz val="18"/>
      <x:color rgb="FFFFFFFF"/>
      <x:name val="Carlito"/>
    </x:font>
    <x:font>
      <x:b/>
      <x:sz val="11"/>
      <x:color rgb="FFF9F9F7"/>
      <x:name val="Carlito"/>
    </x:font>
    <x:font>
      <x:b/>
      <x:sz val="24"/>
      <x:color rgb="FFF9F9F7"/>
      <x:name val="Carlito"/>
    </x:font>
    <x:font>
      <x:b/>
      <x:sz val="13"/>
      <x:color rgb="FFE63946"/>
      <x:name val="Carlito"/>
    </x:font>
    <x:font>
      <x:b/>
      <x:sz val="10"/>
      <x:color rgb="FFF9F9F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D9FF4A"/>
      </x:patternFill>
    </x:fill>
    <x:fill>
      <x:patternFill patternType="solid">
        <x:fgColor rgb="FFF4F4F2"/>
      </x:patternFill>
    </x:fill>
    <x:fill>
      <x:patternFill patternType="solid">
        <x:fgColor rgb="FF191919"/>
      </x:patternFill>
    </x:fill>
    <x:fill>
      <x:patternFill patternType="solid">
        <x:fgColor rgb="FFFFD9D6"/>
      </x:patternFill>
    </x:fill>
    <x:fill>
      <x:patternFill patternType="solid">
        <x:fgColor rgb="FFE4EEF9"/>
      </x:patternFill>
    </x:fill>
    <x:fill>
      <x:patternFill patternType="solid">
        <x:fgColor rgb="FFE63946"/>
      </x:patternFill>
    </x:fill>
    <x:fill>
      <x:patternFill patternType="solid">
        <x:fgColor rgb="FF0D0D0D"/>
      </x:patternFill>
    </x:fill>
    <x:fill>
      <x:patternFill patternType="solid">
        <x:fgColor rgb="FF262626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200" fontId="5" fillId="3" borderId="1" xfId="0" applyNumberFormat="1" applyFont="1" applyFill="1" applyBorder="1"/>
    <x:xf numFmtId="200" fontId="5" fillId="3" borderId="1" xfId="0" applyNumberFormat="1" applyFont="1" applyFill="1" applyBorder="1" applyAlignment="1">
      <x:alignment horizontal="center"/>
    </x:xf>
    <x:xf numFmtId="200" fontId="5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200" fontId="5" fillId="8" borderId="0" xfId="0" applyNumberFormat="1" applyFont="1" applyFill="1" applyBorder="1" applyAlignment="1">
      <x:alignment horizontal="center" vertical="center"/>
    </x:xf>
    <x:xf numFmtId="200" fontId="12" fillId="8" borderId="0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horizontal="left" vertical="center"/>
    </x:xf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/>
    <x:xf numFmtId="0" fontId="8" fillId="9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/>
    <x:xf numFmtId="0" fontId="14" fillId="8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/>
  </x:cellXfs>
  <x:cellStyles count="1">
    <x:cellStyle name="Normal" xfId="0"/>
  </x:cellStyles>
  <x:dxfs count="14">
    <x:dxf>
      <x:font>
        <x:b/>
      </x:font>
      <x:fill>
        <x:patternFill>
          <x:bgColor rgb="FFDFF5E3"/>
        </x:patternFill>
      </x:fill>
    </x:dxf>
    <x:dxf>
      <x:font>
        <x:b/>
      </x:font>
      <x:fill>
        <x:patternFill>
          <x:bgColor rgb="FFFFF2B8"/>
        </x:patternFill>
      </x:fill>
    </x:dxf>
    <x:dxf>
      <x:font>
        <x:b/>
      </x:font>
      <x:fill>
        <x:patternFill>
          <x:bgColor rgb="FFFFD9D6"/>
        </x:patternFill>
      </x:fill>
    </x:dxf>
    <x:dxf>
      <x:font>
        <x:color rgb="FF6B6B6B"/>
      </x:font>
      <x:fill>
        <x:patternFill>
          <x:bgColor rgb="FFF4F4F2"/>
        </x:patternFill>
      </x:fill>
    </x:dxf>
    <x:dxf>
      <x:font>
        <x:b/>
      </x:font>
      <x:fill>
        <x:patternFill>
          <x:bgColor rgb="FFFFD9D6"/>
        </x:patternFill>
      </x:fill>
    </x:dxf>
    <x:dxf>
      <x:fill>
        <x:patternFill>
          <x:bgColor rgb="FFFFF2B8"/>
        </x:patternFill>
      </x:fill>
    </x:dxf>
    <x:dxf>
      <x:fill>
        <x:patternFill>
          <x:bgColor rgb="FFE4EEF9"/>
        </x:patternFill>
      </x:fill>
    </x:dxf>
    <x:dxf>
      <x:font>
        <x:b/>
        <x:color rgb="FF0D0D0D"/>
      </x:font>
      <x:fill>
        <x:patternFill patternType="solid">
          <x:bgColor rgb="FFF1F1EF"/>
        </x:patternFill>
      </x:fill>
    </x:dxf>
    <x:dxf>
      <x:font>
        <x:b/>
        <x:color rgb="FF0D0D0D"/>
      </x:font>
      <x:fill>
        <x:patternFill patternType="solid">
          <x:bgColor rgb="FFD8D8D4"/>
        </x:patternFill>
      </x:fill>
    </x:dxf>
    <x:dxf>
      <x:font>
        <x:b/>
        <x:color rgb="FFE63946"/>
      </x:font>
      <x:fill>
        <x:patternFill patternType="solid">
          <x:bgColor rgb="FFF7D9DC"/>
        </x:patternFill>
      </x:fill>
    </x:dxf>
    <x:dxf>
      <x:font>
        <x:color rgb="FFA3A3A3"/>
      </x:font>
      <x:fill>
        <x:patternFill patternType="solid">
          <x:bgColor rgb="FFF9F9F7"/>
        </x:patternFill>
      </x:fill>
    </x:dxf>
    <x:dxf>
      <x:font>
        <x:b/>
        <x:color rgb="FFF9F9F7"/>
      </x:font>
      <x:fill>
        <x:patternFill patternType="solid">
          <x:bgColor rgb="FFE63946"/>
        </x:patternFill>
      </x:fill>
    </x:dxf>
    <x:dxf>
      <x:font>
        <x:color rgb="FF0D0D0D"/>
      </x:font>
      <x:fill>
        <x:patternFill patternType="solid">
          <x:bgColor rgb="FFE7E7E3"/>
        </x:patternFill>
      </x:fill>
    </x:dxf>
    <x:dxf>
      <x:font>
        <x:color rgb="FFA3A3A3"/>
      </x:font>
      <x:fill>
        <x:patternFill patternType="solid">
          <x:bgColor rgb="FFF9F9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b632745fd4e78" /><Relationship Type="http://schemas.openxmlformats.org/officeDocument/2006/relationships/theme" Target="/xl/theme/theme1.xml" Id="Ra53a086c17534369" /><Relationship Type="http://schemas.openxmlformats.org/officeDocument/2006/relationships/sharedStrings" Target="/xl/sharedStrings.xml" Id="Ree9944646fda4bce" /><Relationship Type="http://schemas.openxmlformats.org/officeDocument/2006/relationships/worksheet" Target="/xl/worksheets/sheet1.xml" Id="Rba6642cddbcb4868" /><Relationship Type="http://schemas.openxmlformats.org/officeDocument/2006/relationships/worksheet" Target="/xl/worksheets/sheet2.xml" Id="R2480ded243244936" /><Relationship Type="http://schemas.openxmlformats.org/officeDocument/2006/relationships/worksheet" Target="/xl/worksheets/sheet3.xml" Id="R3cf6ca926eab47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3c1d4fb8eb4e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Score by audit area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'Start Here'!$A$16:$A$19</c:f>
              <c:strCache>
                <c:ptCount val="0"/>
              </c:strCache>
            </c:strRef>
          </c:cat>
          <c:val>
            <c:numRef>
              <c:f>'Start Here'!$B$16:$B$19</c:f>
              <c:numCache>
                <c:formatCode>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3c1d4fb8eb4e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laviyoAuditTable" displayName="KlaviyoAuditTable" ref="A5:H41" headerRowCount="1" totalsRowCount="0" totalsRowShown="0">
  <x:tableColumns count="8">
    <x:tableColumn id="1" name="Category"/>
    <x:tableColumn id="2" name="Audit item"/>
    <x:tableColumn id="3" name="What good looks like"/>
    <x:tableColumn id="4" name="Priority"/>
    <x:tableColumn id="5" name="Why it matters"/>
    <x:tableColumn id="6" name="Status"/>
    <x:tableColumn id="7" name="Score"/>
    <x:tableColumn id="8" name="Notes /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37cf1c68d745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f83a901db54e6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8" hidden="0" customWidth="1"/>
    <x:col min="4" max="4" width="11" hidden="0" customWidth="1"/>
    <x:col min="5" max="5" width="16" hidden="0" customWidth="1"/>
    <x:col min="6" max="6" width="18" hidden="0" customWidth="1"/>
    <x:col min="7" max="7" width="17" hidden="0" customWidth="1"/>
    <x:col min="8" max="8" width="20" hidden="0" customWidth="1"/>
  </x:cols>
  <x:sheetData>
    <x:row r="1">
      <x:c r="A1" s="129" t="str">
        <x:v>THE KLAVIYO AUDIT CHECKLIST</x:v>
      </x:c>
      <x:c r="B1" s="129"/>
      <x:c r="C1" s="129"/>
      <x:c r="D1" s="129"/>
      <x:c r="E1" s="129"/>
      <x:c r="F1" s="129"/>
      <x:c r="G1" s="129"/>
      <x:c r="H1" s="129"/>
    </x:row>
    <x:row r="2">
      <x:c r="A2" s="129"/>
      <x:c r="B2" s="129"/>
      <x:c r="C2" s="129"/>
      <x:c r="D2" s="129"/>
      <x:c r="E2" s="129"/>
      <x:c r="F2" s="129"/>
      <x:c r="G2" s="129"/>
      <x:c r="H2" s="129"/>
    </x:row>
    <x:row r="3">
      <x:c r="A3" s="124" t="str">
        <x:v>36-point self-audit for finding revenue leaks, list-health problems, and deliverability risk.</x:v>
      </x:c>
      <x:c r="B3" s="124"/>
      <x:c r="C3" s="124"/>
      <x:c r="D3" s="124"/>
      <x:c r="E3" s="124"/>
      <x:c r="F3" s="124"/>
      <x:c r="G3" s="124"/>
      <x:c r="H3" s="124"/>
    </x:row>
    <x:row r="5">
      <x:c r="A5" s="19" t="str">
        <x:v>HOW TO USE IT
1. Open the “Audit Checklist” tab.
2. Set each item to Pass, Needs work, Missing, or N/A.
3. Add evidence/notes instead of guessing.
4. Come back here for the score. Fix Critical + Missing items first.</x:v>
      </x:c>
      <x:c r="B5" s="19"/>
      <x:c r="C5" s="19"/>
      <x:c r="D5" s="19"/>
      <x:c r="E5" s="19"/>
      <x:c r="F5" s="19"/>
      <x:c r="G5" s="19"/>
      <x:c r="H5" s="19"/>
    </x:row>
    <x:row r="6">
      <x:c r="A6" s="19"/>
      <x:c r="B6" s="19"/>
      <x:c r="C6" s="19"/>
      <x:c r="D6" s="19"/>
      <x:c r="E6" s="19"/>
      <x:c r="F6" s="19"/>
      <x:c r="G6" s="19"/>
      <x:c r="H6" s="19"/>
    </x:row>
    <x:row r="7">
      <x:c r="A7" s="19"/>
      <x:c r="B7" s="19"/>
      <x:c r="C7" s="19"/>
      <x:c r="D7" s="19"/>
      <x:c r="E7" s="19"/>
      <x:c r="F7" s="19"/>
      <x:c r="G7" s="19"/>
      <x:c r="H7" s="19"/>
    </x:row>
    <x:row r="9">
      <x:c r="A9" s="130" t="str">
        <x:v>OVERALL SCORE</x:v>
      </x:c>
      <x:c r="B9" s="130"/>
      <x:c r="D9" s="130" t="str">
        <x:v>CRITICAL GAPS</x:v>
      </x:c>
      <x:c r="E9" s="130"/>
      <x:c r="G9" s="130" t="str">
        <x:v>ITEMS REVIEWED</x:v>
      </x:c>
      <x:c r="H9" s="130"/>
    </x:row>
    <x:row r="10">
      <x:c r="A10" s="126" t="str">
        <x:f>IFERROR(ROUND(SUM('Audit Checklist'!$G$6:$G$41)/(COUNT('Audit Checklist'!$G$6:$G$41)*2)*100,0),"")</x:f>
      </x:c>
      <x:c r="B10" s="126"/>
      <x:c r="D10" s="41" t="n">
        <x:f>COUNTIFS('Audit Checklist'!$D$6:$D$41,"Critical",'Audit Checklist'!$F$6:$F$41,"Missing")</x:f>
        <x:v>0</x:v>
      </x:c>
      <x:c r="E10" s="41"/>
      <x:c r="G10" s="49" t="n">
        <x:f>COUNTIF('Audit Checklist'!$F$6:$F$41,"Pass")+COUNTIF('Audit Checklist'!$F$6:$F$41,"Needs work")+COUNTIF('Audit Checklist'!$F$6:$F$41,"Missing")+COUNTIF('Audit Checklist'!$F$6:$F$41,"N/A")</x:f>
        <x:v>0</x:v>
      </x:c>
      <x:c r="H10" s="49"/>
    </x:row>
    <x:row r="11">
      <x:c r="A11" s="126"/>
      <x:c r="B11" s="126"/>
      <x:c r="D11" s="41"/>
      <x:c r="E11" s="41"/>
      <x:c r="G11" s="49"/>
      <x:c r="H11" s="49"/>
    </x:row>
    <x:row r="12">
      <x:c r="A12" s="126"/>
      <x:c r="B12" s="126"/>
      <x:c r="D12" s="41"/>
      <x:c r="E12" s="41"/>
      <x:c r="G12" s="49"/>
      <x:c r="H12" s="49"/>
    </x:row>
    <x:row r="15">
      <x:c r="A15" s="130" t="str">
        <x:v>Category</x:v>
      </x:c>
      <x:c r="B15" s="130" t="str">
        <x:v>Score</x:v>
      </x:c>
      <x:c r="C15" s="130" t="str">
        <x:v>Critical/High gaps</x:v>
      </x:c>
      <x:c r="E15" s="131" t="str">
        <x:v>OPENRATELAB SCORE GUIDE</x:v>
      </x:c>
      <x:c r="F15" s="131"/>
      <x:c r="G15" s="131"/>
      <x:c r="H15" s="131"/>
    </x:row>
    <x:row r="16">
      <x:c r="A16" s="56" t="str">
        <x:v>Flow Architecture</x:v>
      </x:c>
      <x:c r="B16" s="57" t="n">
        <x:f>IFERROR(ROUND(SUMIF('Audit Checklist'!$A$6:$A$41,A16,'Audit Checklist'!$G$6:$G$41)/(COUNTIFS('Audit Checklist'!$A$6:$A$41,A16,'Audit Checklist'!$G$6:$G$41,"&gt;="&amp;0)*2)*100,0),"")</x:f>
        <x:v>0</x:v>
      </x:c>
      <x:c r="C16" s="58" t="n">
        <x:f>COUNTIFS('Audit Checklist'!$A$6:$A$41,A16,'Audit Checklist'!$D$6:$D$41,"Critical",'Audit Checklist'!$F$6:$F$41,"Missing")+COUNTIFS('Audit Checklist'!$A$6:$A$41,A16,'Audit Checklist'!$D$6:$D$41,"High",'Audit Checklist'!$F$6:$F$41,"Missing")</x:f>
        <x:v>0</x:v>
      </x:c>
      <x:c r="E16" s="74" t="str">
        <x:v>85–100%</x:v>
      </x:c>
      <x:c r="F16" s="75" t="str">
        <x:v>Strong foundation</x:v>
      </x:c>
      <x:c r="G16" s="75" t="str">
        <x:v>Optimize details and scale what works</x:v>
      </x:c>
      <x:c r="H16" s="76" t="str"/>
    </x:row>
    <x:row r="17">
      <x:c r="A17" s="59" t="str">
        <x:v>Campaign History &amp; Cadence</x:v>
      </x:c>
      <x:c r="B17" s="54" t="n">
        <x:f>IFERROR(ROUND(SUMIF('Audit Checklist'!$A$6:$A$41,A17,'Audit Checklist'!$G$6:$G$41)/(COUNTIFS('Audit Checklist'!$A$6:$A$41,A17,'Audit Checklist'!$G$6:$G$41,"&gt;="&amp;0)*2)*100,0),"")</x:f>
        <x:v>0</x:v>
      </x:c>
      <x:c r="C17" s="60" t="n">
        <x:f>COUNTIFS('Audit Checklist'!$A$6:$A$41,A17,'Audit Checklist'!$D$6:$D$41,"Critical",'Audit Checklist'!$F$6:$F$41,"Missing")+COUNTIFS('Audit Checklist'!$A$6:$A$41,A17,'Audit Checklist'!$D$6:$D$41,"High",'Audit Checklist'!$F$6:$F$41,"Missing")</x:f>
        <x:v>0</x:v>
      </x:c>
      <x:c r="E17" s="77" t="str">
        <x:v>70–84%</x:v>
      </x:c>
      <x:c r="F17" s="72" t="str">
        <x:v>Revenue leaks</x:v>
      </x:c>
      <x:c r="G17" s="72" t="str">
        <x:v>Fix missing high-impact items before adding complexity</x:v>
      </x:c>
      <x:c r="H17" s="78" t="str"/>
    </x:row>
    <x:row r="18">
      <x:c r="A18" s="59" t="str">
        <x:v>List Health &amp; Segmentation</x:v>
      </x:c>
      <x:c r="B18" s="54" t="n">
        <x:f>IFERROR(ROUND(SUMIF('Audit Checklist'!$A$6:$A$41,A18,'Audit Checklist'!$G$6:$G$41)/(COUNTIFS('Audit Checklist'!$A$6:$A$41,A18,'Audit Checklist'!$G$6:$G$41,"&gt;="&amp;0)*2)*100,0),"")</x:f>
        <x:v>0</x:v>
      </x:c>
      <x:c r="C18" s="60" t="n">
        <x:f>COUNTIFS('Audit Checklist'!$A$6:$A$41,A18,'Audit Checklist'!$D$6:$D$41,"Critical",'Audit Checklist'!$F$6:$F$41,"Missing")+COUNTIFS('Audit Checklist'!$A$6:$A$41,A18,'Audit Checklist'!$D$6:$D$41,"High",'Audit Checklist'!$F$6:$F$41,"Missing")</x:f>
        <x:v>0</x:v>
      </x:c>
      <x:c r="E18" s="77" t="str">
        <x:v>50–69%</x:v>
      </x:c>
      <x:c r="F18" s="72" t="str">
        <x:v>Significant gaps</x:v>
      </x:c>
      <x:c r="G18" s="72" t="str">
        <x:v>Prioritize foundations, segmentation and core flows</x:v>
      </x:c>
      <x:c r="H18" s="78" t="str"/>
    </x:row>
    <x:row r="19">
      <x:c r="A19" s="61" t="str">
        <x:v>Deliverability</x:v>
      </x:c>
      <x:c r="B19" s="62" t="n">
        <x:f>IFERROR(ROUND(SUMIF('Audit Checklist'!$A$6:$A$41,A19,'Audit Checklist'!$G$6:$G$41)/(COUNTIFS('Audit Checklist'!$A$6:$A$41,A19,'Audit Checklist'!$G$6:$G$41,"&gt;="&amp;0)*2)*100,0),"")</x:f>
        <x:v>0</x:v>
      </x:c>
      <x:c r="C19" s="63" t="n">
        <x:f>COUNTIFS('Audit Checklist'!$A$6:$A$41,A19,'Audit Checklist'!$D$6:$D$41,"Critical",'Audit Checklist'!$F$6:$F$41,"Missing")+COUNTIFS('Audit Checklist'!$A$6:$A$41,A19,'Audit Checklist'!$D$6:$D$41,"High",'Audit Checklist'!$F$6:$F$41,"Missing")</x:f>
        <x:v>0</x:v>
      </x:c>
      <x:c r="E19" s="79" t="str">
        <x:v>&lt;50%</x:v>
      </x:c>
      <x:c r="F19" s="80" t="str">
        <x:v>Critical rebuild</x:v>
      </x:c>
      <x:c r="G19" s="80" t="str">
        <x:v>Fix tracking, deliverability and core architecture first</x:v>
      </x:c>
      <x:c r="H19" s="81" t="str"/>
    </x:row>
    <x:row r="22">
      <x:c r="A22" s="92" t="str">
        <x:v>This score is an OpenRateLab prioritization heuristic, not a Klaviyo certification. A high score does not guarantee revenue or inbox placement; the purpose is to reveal what to inspect next. If you find multiple Critical gaps, that is where the audit should start.</x:v>
      </x:c>
      <x:c r="B22" s="92"/>
      <x:c r="C22" s="92"/>
      <x:c r="D22" s="92"/>
      <x:c r="E22" s="92"/>
      <x:c r="F22" s="92"/>
      <x:c r="G22" s="92"/>
      <x:c r="H22" s="92"/>
    </x:row>
    <x:row r="23">
      <x:c r="A23" s="92"/>
      <x:c r="B23" s="92"/>
      <x:c r="C23" s="92"/>
      <x:c r="D23" s="92"/>
      <x:c r="E23" s="92"/>
      <x:c r="F23" s="92"/>
      <x:c r="G23" s="92"/>
      <x:c r="H23" s="92"/>
    </x:row>
    <x:row r="24">
      <x:c r="A24" s="92"/>
      <x:c r="B24" s="92"/>
      <x:c r="C24" s="92"/>
      <x:c r="D24" s="92"/>
      <x:c r="E24" s="92"/>
      <x:c r="F24" s="92"/>
      <x:c r="G24" s="92"/>
      <x:c r="H24" s="92"/>
    </x:row>
    <x:row r="26">
      <x:c r="A26" s="128" t="str">
        <x:v>Want a second pair of eyes? Book a free audit at openratelab.com</x:v>
      </x:c>
      <x:c r="B26" s="128"/>
      <x:c r="C26" s="128"/>
      <x:c r="D26" s="128"/>
      <x:c r="E26" s="128"/>
      <x:c r="F26" s="128"/>
      <x:c r="G26" s="128"/>
      <x:c r="H26" s="128"/>
    </x:row>
    <x:row r="27">
      <x:c r="A27" s="128"/>
      <x:c r="B27" s="128"/>
      <x:c r="C27" s="128"/>
      <x:c r="D27" s="128"/>
      <x:c r="E27" s="128"/>
      <x:c r="F27" s="128"/>
      <x:c r="G27" s="128"/>
      <x:c r="H27" s="128"/>
    </x:row>
  </x:sheetData>
  <x:mergeCells>
    <x:mergeCell ref="A1:H2"/>
    <x:mergeCell ref="A3:H3"/>
    <x:mergeCell ref="A5:H7"/>
    <x:mergeCell ref="A9:B9"/>
    <x:mergeCell ref="A10:B12"/>
    <x:mergeCell ref="D9:E9"/>
    <x:mergeCell ref="D10:E12"/>
    <x:mergeCell ref="G9:H9"/>
    <x:mergeCell ref="G10:H12"/>
    <x:mergeCell ref="E15:H15"/>
    <x:mergeCell ref="A22:H24"/>
    <x:mergeCell ref="A26:H27"/>
  </x:mergeCells>
  <x:pageMargins left="0.7" right="0.7" top="0.75" bottom="0.75" header="0.3" footer="0.3"/>
  <x:drawing xmlns:r="http://schemas.openxmlformats.org/officeDocument/2006/relationships" r:id="R3637cf1c68d74598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54" hidden="0" customWidth="1"/>
    <x:col min="4" max="4" width="11" hidden="0" customWidth="1"/>
    <x:col min="5" max="5" width="38" hidden="0" customWidth="1"/>
    <x:col min="6" max="6" width="15" hidden="0" customWidth="1"/>
    <x:col min="7" max="7" width="9" hidden="0" customWidth="1"/>
    <x:col min="8" max="8" width="34" hidden="0" customWidth="1"/>
  </x:cols>
  <x:sheetData>
    <x:row r="1">
      <x:c r="A1" s="132" t="str">
        <x:v>OPENRATELAB · 36-POINT KLAVIYO AUDIT</x:v>
      </x:c>
      <x:c r="B1" s="132"/>
      <x:c r="C1" s="132"/>
      <x:c r="D1" s="132"/>
      <x:c r="E1" s="132"/>
      <x:c r="F1" s="132"/>
      <x:c r="G1" s="132"/>
      <x:c r="H1" s="132"/>
    </x:row>
    <x:row r="2">
      <x:c r="A2" s="132"/>
      <x:c r="B2" s="132"/>
      <x:c r="C2" s="132"/>
      <x:c r="D2" s="132"/>
      <x:c r="E2" s="132"/>
      <x:c r="F2" s="132"/>
      <x:c r="G2" s="132"/>
      <x:c r="H2" s="132"/>
    </x:row>
    <x:row r="3">
      <x:c r="A3" s="134" t="str">
        <x:v>Set Status for every row. Score: Pass = 2, Needs work = 1, Missing = 0. N/A is excluded.</x:v>
      </x:c>
      <x:c r="B3" s="134"/>
      <x:c r="C3" s="134"/>
      <x:c r="D3" s="134"/>
      <x:c r="E3" s="134"/>
      <x:c r="F3" s="134"/>
      <x:c r="G3" s="134"/>
      <x:c r="H3" s="134"/>
    </x:row>
    <x:row r="5">
      <x:c r="A5" s="135" t="str">
        <x:v>Category</x:v>
      </x:c>
      <x:c r="B5" s="135" t="str">
        <x:v>Audit item</x:v>
      </x:c>
      <x:c r="C5" s="135" t="str">
        <x:v>What good looks like</x:v>
      </x:c>
      <x:c r="D5" s="135" t="str">
        <x:v>Priority</x:v>
      </x:c>
      <x:c r="E5" s="135" t="str">
        <x:v>Why it matters</x:v>
      </x:c>
      <x:c r="F5" s="135" t="str">
        <x:v>Status</x:v>
      </x:c>
      <x:c r="G5" s="135" t="str">
        <x:v>Score</x:v>
      </x:c>
      <x:c r="H5" s="135" t="str">
        <x:v>Notes / evidence</x:v>
      </x:c>
    </x:row>
    <x:row r="6" ht="66" customHeight="1">
      <x:c r="A6" s="114" t="str">
        <x:v>Flow Architecture</x:v>
      </x:c>
      <x:c r="B6" s="114" t="str">
        <x:v>Tracking &amp; ecommerce events are syncing correctly</x:v>
      </x:c>
      <x:c r="C6" s="114" t="str">
        <x:v>Core events needed for automation are firing with usable data (e.g. Viewed Product, Added to Cart, Started Checkout, Placed Order).</x:v>
      </x:c>
      <x:c r="D6" s="114" t="str">
        <x:v>Critical</x:v>
      </x:c>
      <x:c r="E6" s="114" t="str">
        <x:v>A broken event means a flow can look 'live' while never reaching the right people.</x:v>
      </x:c>
      <x:c r="F6" s="114" t="str"/>
      <x:c r="G6" s="114" t="str">
        <x:f>IF(F6="Pass",2,IF(F6="Needs work",1,IF(F6="Missing",0,"")))</x:f>
      </x:c>
      <x:c r="H6" s="114" t="str"/>
    </x:row>
    <x:row r="7" ht="66" customHeight="1">
      <x:c r="A7" s="114" t="str">
        <x:v>Flow Architecture</x:v>
      </x:c>
      <x:c r="B7" s="114" t="str">
        <x:v>Welcome series is live and multi-step</x:v>
      </x:c>
      <x:c r="C7" s="114" t="str">
        <x:v>New subscribers enter a branded sequence that goes beyond a single coupon email: expectation setting, brand/product education, proof, and conversion.</x:v>
      </x:c>
      <x:c r="D7" s="114" t="str">
        <x:v>Critical</x:v>
      </x:c>
      <x:c r="E7" s="114" t="str">
        <x:v>Usually one of the highest-leverage flows for converting new subscribers.</x:v>
      </x:c>
      <x:c r="F7" s="114" t="str"/>
      <x:c r="G7" s="114" t="str">
        <x:f>IF(F7="Pass",2,IF(F7="Needs work",1,IF(F7="Missing",0,"")))</x:f>
      </x:c>
      <x:c r="H7" s="114" t="str"/>
    </x:row>
    <x:row r="8" ht="66" customHeight="1">
      <x:c r="A8" s="114" t="str">
        <x:v>Flow Architecture</x:v>
      </x:c>
      <x:c r="B8" s="114" t="str">
        <x:v>Abandoned cart flow has 2–3 messages</x:v>
      </x:c>
      <x:c r="C8" s="114" t="str">
        <x:v>Cart/checkout abandoners receive a short sequence with appropriate timing, cart content, objection handling, and a clear route back to checkout.</x:v>
      </x:c>
      <x:c r="D8" s="114" t="str">
        <x:v>Critical</x:v>
      </x:c>
      <x:c r="E8" s="114" t="str">
        <x:v>Klaviyo reports 2–3 abandoned-cart messages as an effective starting point.</x:v>
      </x:c>
      <x:c r="F8" s="114" t="str"/>
      <x:c r="G8" s="114" t="str">
        <x:f>IF(F8="Pass",2,IF(F8="Needs work",1,IF(F8="Missing",0,"")))</x:f>
      </x:c>
      <x:c r="H8" s="114" t="str"/>
    </x:row>
    <x:row r="9" ht="66" customHeight="1">
      <x:c r="A9" s="114" t="str">
        <x:v>Flow Architecture</x:v>
      </x:c>
      <x:c r="B9" s="114" t="str">
        <x:v>Abandoned cart filters stop messages after purchase</x:v>
      </x:c>
      <x:c r="C9" s="114" t="str">
        <x:v>Placed Order and relevant checkout/order filters prevent customers from continuing through abandonment messages after converting.</x:v>
      </x:c>
      <x:c r="D9" s="114" t="str">
        <x:v>Critical</x:v>
      </x:c>
      <x:c r="E9" s="114" t="str">
        <x:v>Prevents embarrassing post-purchase abandonment emails and unnecessary frequency.</x:v>
      </x:c>
      <x:c r="F9" s="114" t="str"/>
      <x:c r="G9" s="114" t="str">
        <x:f>IF(F9="Pass",2,IF(F9="Needs work",1,IF(F9="Missing",0,"")))</x:f>
      </x:c>
      <x:c r="H9" s="114" t="str"/>
    </x:row>
    <x:row r="10" ht="66" customHeight="1">
      <x:c r="A10" s="114" t="str">
        <x:v>Flow Architecture</x:v>
      </x:c>
      <x:c r="B10" s="114" t="str">
        <x:v>Browse abandonment is live and does not overlap cart flows</x:v>
      </x:c>
      <x:c r="C10" s="114" t="str">
        <x:v>Viewed Product behavior can trigger a lighter-touch flow; filters prevent overlap with cart/checkout behavior and recent browse entries.</x:v>
      </x:c>
      <x:c r="D10" s="114" t="str">
        <x:v>High</x:v>
      </x:c>
      <x:c r="E10" s="114" t="str">
        <x:v>Browse intent is weaker than cart intent, so the message should be lighter.</x:v>
      </x:c>
      <x:c r="F10" s="114" t="str"/>
      <x:c r="G10" s="114" t="str">
        <x:f>IF(F10="Pass",2,IF(F10="Needs work",1,IF(F10="Missing",0,"")))</x:f>
      </x:c>
      <x:c r="H10" s="114" t="str"/>
    </x:row>
    <x:row r="11" ht="66" customHeight="1">
      <x:c r="A11" s="114" t="str">
        <x:v>Flow Architecture</x:v>
      </x:c>
      <x:c r="B11" s="114" t="str">
        <x:v>Post-purchase flow is live</x:v>
      </x:c>
      <x:c r="C11" s="114" t="str">
        <x:v>Customers receive useful post-purchase communication such as education, thank-you content, review requests, cross-sell, or next-step guidance.</x:v>
      </x:c>
      <x:c r="D11" s="114" t="str">
        <x:v>High</x:v>
      </x:c>
      <x:c r="E11" s="114" t="str">
        <x:v>A strong post-purchase system can improve repeat purchase and customer experience.</x:v>
      </x:c>
      <x:c r="F11" s="114" t="str"/>
      <x:c r="G11" s="114" t="str">
        <x:f>IF(F11="Pass",2,IF(F11="Needs work",1,IF(F11="Missing",0,"")))</x:f>
      </x:c>
      <x:c r="H11" s="114" t="str"/>
    </x:row>
    <x:row r="12" ht="66" customHeight="1">
      <x:c r="A12" s="114" t="str">
        <x:v>Flow Architecture</x:v>
      </x:c>
      <x:c r="B12" s="114" t="str">
        <x:v>Win-back timing matches the real buying cycle</x:v>
      </x:c>
      <x:c r="C12" s="114" t="str">
        <x:v>Win-back starts when a buyer is genuinely becoming lapsed, based on typical repurchase timing rather than an arbitrary default delay.</x:v>
      </x:c>
      <x:c r="D12" s="114" t="str">
        <x:v>High</x:v>
      </x:c>
      <x:c r="E12" s="114" t="str">
        <x:v>A 60/90-day rule is not correct for every business; buying cycle matters.</x:v>
      </x:c>
      <x:c r="F12" s="114" t="str"/>
      <x:c r="G12" s="114" t="str">
        <x:f>IF(F12="Pass",2,IF(F12="Needs work",1,IF(F12="Missing",0,"")))</x:f>
      </x:c>
      <x:c r="H12" s="114" t="str"/>
    </x:row>
    <x:row r="13" ht="66" customHeight="1">
      <x:c r="A13" s="114" t="str">
        <x:v>Flow Architecture</x:v>
      </x:c>
      <x:c r="B13" s="114" t="str">
        <x:v>Replenishment / repeat-purchase automation exists when relevant</x:v>
      </x:c>
      <x:c r="C13" s="114" t="str">
        <x:v>Consumable or repeat-purchase products trigger replenishment or reorder reminders at a sensible interval.</x:v>
      </x:c>
      <x:c r="D13" s="114" t="str">
        <x:v>Medium</x:v>
      </x:c>
      <x:c r="E13" s="114" t="str">
        <x:v>Mark N/A if the product naturally has no replenishment cycle.</x:v>
      </x:c>
      <x:c r="F13" s="114" t="str"/>
      <x:c r="G13" s="114" t="str">
        <x:f>IF(F13="Pass",2,IF(F13="Needs work",1,IF(F13="Missing",0,"")))</x:f>
      </x:c>
      <x:c r="H13" s="114" t="str"/>
    </x:row>
    <x:row r="14" ht="66" customHeight="1">
      <x:c r="A14" s="114" t="str">
        <x:v>Flow Architecture</x:v>
      </x:c>
      <x:c r="B14" s="114" t="str">
        <x:v>Sunset / re-engagement logic protects list health</x:v>
      </x:c>
      <x:c r="C14" s="114" t="str">
        <x:v>Long-term unengaged profiles get a final re-engagement/sunset path before suppression; high-risk flows are not used recklessly during warming.</x:v>
      </x:c>
      <x:c r="D14" s="114" t="str">
        <x:v>High</x:v>
      </x:c>
      <x:c r="E14" s="114" t="str">
        <x:v>Sunsetting protects sender reputation and can reduce unnecessary profile cost.</x:v>
      </x:c>
      <x:c r="F14" s="114" t="str"/>
      <x:c r="G14" s="114" t="str">
        <x:f>IF(F14="Pass",2,IF(F14="Needs work",1,IF(F14="Missing",0,"")))</x:f>
      </x:c>
      <x:c r="H14" s="114" t="str"/>
    </x:row>
    <x:row r="15" ht="66" customHeight="1">
      <x:c r="A15" s="114" t="str">
        <x:v>Campaign History &amp; Cadence</x:v>
      </x:c>
      <x:c r="B15" s="114" t="str">
        <x:v>Campaigns follow a planned sending calendar</x:v>
      </x:c>
      <x:c r="C15" s="114" t="str">
        <x:v>Sending is consistent and intentional rather than sporadic bursts followed by silence.</x:v>
      </x:c>
      <x:c r="D15" s="114" t="str">
        <x:v>High</x:v>
      </x:c>
      <x:c r="E15" s="114" t="str">
        <x:v>Consistency gives cleaner performance data and helps avoid sudden volume spikes.</x:v>
      </x:c>
      <x:c r="F15" s="114" t="str"/>
      <x:c r="G15" s="114" t="str">
        <x:f>IF(F15="Pass",2,IF(F15="Needs work",1,IF(F15="Missing",0,"")))</x:f>
      </x:c>
      <x:c r="H15" s="114" t="str"/>
    </x:row>
    <x:row r="16" ht="66" customHeight="1">
      <x:c r="A16" s="114" t="str">
        <x:v>Campaign History &amp; Cadence</x:v>
      </x:c>
      <x:c r="B16" s="114" t="str">
        <x:v>Most campaigns target a relevant segment</x:v>
      </x:c>
      <x:c r="C16" s="114" t="str">
        <x:v>Campaign audience reflects the goal: engagement, customer status, purchase history, product interest, geography, or other useful behavior.</x:v>
      </x:c>
      <x:c r="D16" s="114" t="str">
        <x:v>Critical</x:v>
      </x:c>
      <x:c r="E16" s="114" t="str">
        <x:v>Repeated full-list blasting is one of the fastest ways to damage engagement.</x:v>
      </x:c>
      <x:c r="F16" s="114" t="str"/>
      <x:c r="G16" s="114" t="str">
        <x:f>IF(F16="Pass",2,IF(F16="Needs work",1,IF(F16="Missing",0,"")))</x:f>
      </x:c>
      <x:c r="H16" s="114" t="str"/>
    </x:row>
    <x:row r="17" ht="66" customHeight="1">
      <x:c r="A17" s="114" t="str">
        <x:v>Campaign History &amp; Cadence</x:v>
      </x:c>
      <x:c r="B17" s="114" t="str">
        <x:v>Unengaged / high-risk profiles are excluded from normal campaigns</x:v>
      </x:c>
      <x:c r="C17" s="114" t="str">
        <x:v>Regular campaigns prioritize engaged recipients; unengaged profiles are handled separately instead of receiving every send.</x:v>
      </x:c>
      <x:c r="D17" s="114" t="str">
        <x:v>Critical</x:v>
      </x:c>
      <x:c r="E17" s="114" t="str">
        <x:v>This is a core deliverability control.</x:v>
      </x:c>
      <x:c r="F17" s="114" t="str"/>
      <x:c r="G17" s="114" t="str">
        <x:f>IF(F17="Pass",2,IF(F17="Needs work",1,IF(F17="Missing",0,"")))</x:f>
      </x:c>
      <x:c r="H17" s="114" t="str"/>
    </x:row>
    <x:row r="18" ht="66" customHeight="1">
      <x:c r="A18" s="114" t="str">
        <x:v>Campaign History &amp; Cadence</x:v>
      </x:c>
      <x:c r="B18" s="114" t="str">
        <x:v>A/B tests are run with a clear hypothesis</x:v>
      </x:c>
      <x:c r="C18" s="114" t="str">
        <x:v>Subject line, send time, offer, creative, CTA, or audience tests change one meaningful variable and the winner is actually used.</x:v>
      </x:c>
      <x:c r="D18" s="114" t="str">
        <x:v>Medium</x:v>
      </x:c>
      <x:c r="E18" s="114" t="str">
        <x:v>Testing without a hypothesis or next action creates noise, not learning.</x:v>
      </x:c>
      <x:c r="F18" s="114" t="str"/>
      <x:c r="G18" s="114" t="str">
        <x:f>IF(F18="Pass",2,IF(F18="Needs work",1,IF(F18="Missing",0,"")))</x:f>
      </x:c>
      <x:c r="H18" s="114" t="str"/>
    </x:row>
    <x:row r="19" ht="66" customHeight="1">
      <x:c r="A19" s="114" t="str">
        <x:v>Campaign History &amp; Cadence</x:v>
      </x:c>
      <x:c r="B19" s="114" t="str">
        <x:v>Campaign content is not promo-only</x:v>
      </x:c>
      <x:c r="C19" s="114" t="str">
        <x:v>The calendar includes value, education, product use, proof, brand content, launches, and offers—not only discount messages.</x:v>
      </x:c>
      <x:c r="D19" s="114" t="str">
        <x:v>Medium</x:v>
      </x:c>
      <x:c r="E19" s="114" t="str">
        <x:v>Value-driven content helps protect long-term engagement.</x:v>
      </x:c>
      <x:c r="F19" s="114" t="str"/>
      <x:c r="G19" s="114" t="str">
        <x:f>IF(F19="Pass",2,IF(F19="Needs work",1,IF(F19="Missing",0,"")))</x:f>
      </x:c>
      <x:c r="H19" s="114" t="str"/>
    </x:row>
    <x:row r="20" ht="66" customHeight="1">
      <x:c r="A20" s="114" t="str">
        <x:v>Campaign History &amp; Cadence</x:v>
      </x:c>
      <x:c r="B20" s="114" t="str">
        <x:v>Performance is judged beyond open rate</x:v>
      </x:c>
      <x:c r="C20" s="114" t="str">
        <x:v>Click rate, conversion, revenue, revenue per recipient, unsubscribes, spam complaints, and bounce rate are reviewed alongside opens.</x:v>
      </x:c>
      <x:c r="D20" s="114" t="str">
        <x:v>Critical</x:v>
      </x:c>
      <x:c r="E20" s="114" t="str">
        <x:v>Open rate alone is not enough to judge campaign quality.</x:v>
      </x:c>
      <x:c r="F20" s="114" t="str"/>
      <x:c r="G20" s="114" t="str">
        <x:f>IF(F20="Pass",2,IF(F20="Needs work",1,IF(F20="Missing",0,"")))</x:f>
      </x:c>
      <x:c r="H20" s="114" t="str"/>
    </x:row>
    <x:row r="21" ht="66" customHeight="1">
      <x:c r="A21" s="114" t="str">
        <x:v>Campaign History &amp; Cadence</x:v>
      </x:c>
      <x:c r="B21" s="114" t="str">
        <x:v>UTM / attribution setup is consistent</x:v>
      </x:c>
      <x:c r="C21" s="114" t="str">
        <x:v>Links use a consistent tracking convention and Klaviyo attribution/reporting settings are understood by the team.</x:v>
      </x:c>
      <x:c r="D21" s="114" t="str">
        <x:v>High</x:v>
      </x:c>
      <x:c r="E21" s="114" t="str">
        <x:v>Without consistent tracking, campaign decisions can be based on incomplete revenue data.</x:v>
      </x:c>
      <x:c r="F21" s="114" t="str"/>
      <x:c r="G21" s="114" t="str">
        <x:f>IF(F21="Pass",2,IF(F21="Needs work",1,IF(F21="Missing",0,"")))</x:f>
      </x:c>
      <x:c r="H21" s="114" t="str"/>
    </x:row>
    <x:row r="22" ht="66" customHeight="1">
      <x:c r="A22" s="114" t="str">
        <x:v>Campaign History &amp; Cadence</x:v>
      </x:c>
      <x:c r="B22" s="114" t="str">
        <x:v>Campaign overlap with flows is controlled</x:v>
      </x:c>
      <x:c r="C22" s="114" t="str">
        <x:v>Major sends consider recent purchases, active flows, Smart Sending/frequency controls, and other messages a recipient may receive.</x:v>
      </x:c>
      <x:c r="D22" s="114" t="str">
        <x:v>High</x:v>
      </x:c>
      <x:c r="E22" s="114" t="str">
        <x:v>The customer experiences one inbox, not separate 'campaign' and 'flow' channels.</x:v>
      </x:c>
      <x:c r="F22" s="114" t="str"/>
      <x:c r="G22" s="114" t="str">
        <x:f>IF(F22="Pass",2,IF(F22="Needs work",1,IF(F22="Missing",0,"")))</x:f>
      </x:c>
      <x:c r="H22" s="114" t="str"/>
    </x:row>
    <x:row r="23" ht="66" customHeight="1">
      <x:c r="A23" s="114" t="str">
        <x:v>Campaign History &amp; Cadence</x:v>
      </x:c>
      <x:c r="B23" s="114" t="str">
        <x:v>Trends are reviewed over time</x:v>
      </x:c>
      <x:c r="C23" s="114" t="str">
        <x:v>Performance is reviewed across multiple sends and by audience/provider rather than reacting to one unusually good or bad campaign.</x:v>
      </x:c>
      <x:c r="D23" s="114" t="str">
        <x:v>Medium</x:v>
      </x:c>
      <x:c r="E23" s="114" t="str">
        <x:v>Trend data is more useful than single-send snapshots.</x:v>
      </x:c>
      <x:c r="F23" s="114" t="str"/>
      <x:c r="G23" s="114" t="str">
        <x:f>IF(F23="Pass",2,IF(F23="Needs work",1,IF(F23="Missing",0,"")))</x:f>
      </x:c>
      <x:c r="H23" s="114" t="str"/>
    </x:row>
    <x:row r="24" ht="66" customHeight="1">
      <x:c r="A24" s="114" t="str">
        <x:v>List Health &amp; Segmentation</x:v>
      </x:c>
      <x:c r="B24" s="114" t="str">
        <x:v>Consent and list-growth sources are clear</x:v>
      </x:c>
      <x:c r="C24" s="114" t="str">
        <x:v>The team knows where subscribers came from, what they consented to, and which forms/imports/integrations feed the marketing audience.</x:v>
      </x:c>
      <x:c r="D24" s="114" t="str">
        <x:v>Critical</x:v>
      </x:c>
      <x:c r="E24" s="114" t="str">
        <x:v>Unknown or poor-quality acquisition sources create both compliance and deliverability risk.</x:v>
      </x:c>
      <x:c r="F24" s="114" t="str"/>
      <x:c r="G24" s="114" t="str">
        <x:f>IF(F24="Pass",2,IF(F24="Needs work",1,IF(F24="Missing",0,"")))</x:f>
      </x:c>
      <x:c r="H24" s="114" t="str"/>
    </x:row>
    <x:row r="25" ht="66" customHeight="1">
      <x:c r="A25" s="114" t="str">
        <x:v>List Health &amp; Segmentation</x:v>
      </x:c>
      <x:c r="B25" s="114" t="str">
        <x:v>Signup forms are actively reviewed</x:v>
      </x:c>
      <x:c r="C25" s="114" t="str">
        <x:v>Form conversion, mobile experience, targeting, offer, and subscriber quality are checked—not simply left live indefinitely.</x:v>
      </x:c>
      <x:c r="D25" s="114" t="str">
        <x:v>High</x:v>
      </x:c>
      <x:c r="E25" s="114" t="str">
        <x:v>List growth should be judged on quality and downstream revenue, not just submission volume.</x:v>
      </x:c>
      <x:c r="F25" s="114" t="str"/>
      <x:c r="G25" s="114" t="str">
        <x:f>IF(F25="Pass",2,IF(F25="Needs work",1,IF(F25="Missing",0,"")))</x:f>
      </x:c>
      <x:c r="H25" s="114" t="str"/>
    </x:row>
    <x:row r="26" ht="66" customHeight="1">
      <x:c r="A26" s="114" t="str">
        <x:v>List Health &amp; Segmentation</x:v>
      </x:c>
      <x:c r="B26" s="114" t="str">
        <x:v>Engagement segments exist</x:v>
      </x:c>
      <x:c r="C26" s="114" t="str">
        <x:v>Dynamic 30/60/90-day or equivalent engagement segments make it easy to scale sending up or down by recipient activity.</x:v>
      </x:c>
      <x:c r="D26" s="114" t="str">
        <x:v>Critical</x:v>
      </x:c>
      <x:c r="E26" s="114" t="str">
        <x:v>Engagement windows should fit actual send frequency and customer behavior.</x:v>
      </x:c>
      <x:c r="F26" s="114" t="str"/>
      <x:c r="G26" s="114" t="str">
        <x:f>IF(F26="Pass",2,IF(F26="Needs work",1,IF(F26="Missing",0,"")))</x:f>
      </x:c>
      <x:c r="H26" s="114" t="str"/>
    </x:row>
    <x:row r="27" ht="66" customHeight="1">
      <x:c r="A27" s="114" t="str">
        <x:v>List Health &amp; Segmentation</x:v>
      </x:c>
      <x:c r="B27" s="114" t="str">
        <x:v>An unengaged segment exists</x:v>
      </x:c>
      <x:c r="C27" s="114" t="str">
        <x:v>Profiles with no meaningful recent engagement are identifiable and can be excluded, re-engaged, or sunset.</x:v>
      </x:c>
      <x:c r="D27" s="114" t="str">
        <x:v>Critical</x:v>
      </x:c>
      <x:c r="E27" s="114" t="str">
        <x:v>A dynamic unengaged definition is essential for list hygiene.</x:v>
      </x:c>
      <x:c r="F27" s="114" t="str"/>
      <x:c r="G27" s="114" t="str">
        <x:f>IF(F27="Pass",2,IF(F27="Needs work",1,IF(F27="Missing",0,"")))</x:f>
      </x:c>
      <x:c r="H27" s="114" t="str"/>
    </x:row>
    <x:row r="28" ht="66" customHeight="1">
      <x:c r="A28" s="114" t="str">
        <x:v>List Health &amp; Segmentation</x:v>
      </x:c>
      <x:c r="B28" s="114" t="str">
        <x:v>Customer and non-customer audiences are separated</x:v>
      </x:c>
      <x:c r="C28" s="114" t="str">
        <x:v>Messaging can distinguish prospects, first-time buyers, repeat buyers, and lapsed customers.</x:v>
      </x:c>
      <x:c r="D28" s="114" t="str">
        <x:v>High</x:v>
      </x:c>
      <x:c r="E28" s="114" t="str">
        <x:v>A repeat buyer should not receive the same message as someone who has never purchased.</x:v>
      </x:c>
      <x:c r="F28" s="114" t="str"/>
      <x:c r="G28" s="114" t="str">
        <x:f>IF(F28="Pass",2,IF(F28="Needs work",1,IF(F28="Missing",0,"")))</x:f>
      </x:c>
      <x:c r="H28" s="114" t="str"/>
    </x:row>
    <x:row r="29" ht="66" customHeight="1">
      <x:c r="A29" s="114" t="str">
        <x:v>List Health &amp; Segmentation</x:v>
      </x:c>
      <x:c r="B29" s="114" t="str">
        <x:v>Purchase / product-affinity segments exist</x:v>
      </x:c>
      <x:c r="C29" s="114" t="str">
        <x:v>Useful segments reflect what people bought, viewed, browsed, or are likely to need next.</x:v>
      </x:c>
      <x:c r="D29" s="114" t="str">
        <x:v>High</x:v>
      </x:c>
      <x:c r="E29" s="114" t="str">
        <x:v>Behavioral segmentation makes email more relevant and supports cross-sell/upsell.</x:v>
      </x:c>
      <x:c r="F29" s="114" t="str"/>
      <x:c r="G29" s="114" t="str">
        <x:f>IF(F29="Pass",2,IF(F29="Needs work",1,IF(F29="Missing",0,"")))</x:f>
      </x:c>
      <x:c r="H29" s="114" t="str"/>
    </x:row>
    <x:row r="30" ht="66" customHeight="1">
      <x:c r="A30" s="114" t="str">
        <x:v>List Health &amp; Segmentation</x:v>
      </x:c>
      <x:c r="B30" s="114" t="str">
        <x:v>VIP / high-value customers can be identified</x:v>
      </x:c>
      <x:c r="C30" s="114" t="str">
        <x:v>High spend, repeat purchase, high AOV, loyalty, or another business-relevant value signal identifies top customers.</x:v>
      </x:c>
      <x:c r="D30" s="114" t="str">
        <x:v>Medium</x:v>
      </x:c>
      <x:c r="E30" s="114" t="str">
        <x:v>VIP logic should match the economics of the business.</x:v>
      </x:c>
      <x:c r="F30" s="114" t="str"/>
      <x:c r="G30" s="114" t="str">
        <x:f>IF(F30="Pass",2,IF(F30="Needs work",1,IF(F30="Missing",0,"")))</x:f>
      </x:c>
      <x:c r="H30" s="114" t="str"/>
    </x:row>
    <x:row r="31" ht="66" customHeight="1">
      <x:c r="A31" s="114" t="str">
        <x:v>List Health &amp; Segmentation</x:v>
      </x:c>
      <x:c r="B31" s="114" t="str">
        <x:v>Segments update dynamically</x:v>
      </x:c>
      <x:c r="C31" s="114" t="str">
        <x:v>Core sending segments use rules and update automatically instead of being rebuilt as static CSV audiences.</x:v>
      </x:c>
      <x:c r="D31" s="114" t="str">
        <x:v>High</x:v>
      </x:c>
      <x:c r="E31" s="114" t="str">
        <x:v>Static segments become outdated quickly and increase operational error.</x:v>
      </x:c>
      <x:c r="F31" s="114" t="str"/>
      <x:c r="G31" s="114" t="str">
        <x:f>IF(F31="Pass",2,IF(F31="Needs work",1,IF(F31="Missing",0,"")))</x:f>
      </x:c>
      <x:c r="H31" s="114" t="str"/>
    </x:row>
    <x:row r="32" ht="66" customHeight="1">
      <x:c r="A32" s="114" t="str">
        <x:v>List Health &amp; Segmentation</x:v>
      </x:c>
      <x:c r="B32" s="114" t="str">
        <x:v>Suppressions and old/imported profiles are handled correctly</x:v>
      </x:c>
      <x:c r="C32" s="114" t="str">
        <x:v>Unsubscribes, spam complaints, hard bounces, clearly invalid addresses, and risky old/imported profiles are not treated as normal marketable contacts.</x:v>
      </x:c>
      <x:c r="D32" s="114" t="str">
        <x:v>Critical</x:v>
      </x:c>
      <x:c r="E32" s="114" t="str">
        <x:v>List size is not the goal; reachable, engaged demand is.</x:v>
      </x:c>
      <x:c r="F32" s="114" t="str"/>
      <x:c r="G32" s="114" t="str">
        <x:f>IF(F32="Pass",2,IF(F32="Needs work",1,IF(F32="Missing",0,"")))</x:f>
      </x:c>
      <x:c r="H32" s="114" t="str"/>
    </x:row>
    <x:row r="33" ht="66" customHeight="1">
      <x:c r="A33" s="114" t="str">
        <x:v>Deliverability</x:v>
      </x:c>
      <x:c r="B33" s="114" t="str">
        <x:v>A branded sending domain is configured</x:v>
      </x:c>
      <x:c r="C33" s="114" t="str">
        <x:v>Marketing email is authenticated through a branded/dedicated sending domain that aligns with the brand's sending identity.</x:v>
      </x:c>
      <x:c r="D33" s="114" t="str">
        <x:v>Critical</x:v>
      </x:c>
      <x:c r="E33" s="114" t="str">
        <x:v>Klaviyo recommends a branded sending domain for brand-controlled authentication and reputation.</x:v>
      </x:c>
      <x:c r="F33" s="114" t="str"/>
      <x:c r="G33" s="114" t="str">
        <x:f>IF(F33="Pass",2,IF(F33="Needs work",1,IF(F33="Missing",0,"")))</x:f>
      </x:c>
      <x:c r="H33" s="114" t="str"/>
    </x:row>
    <x:row r="34" ht="66" customHeight="1">
      <x:c r="A34" s="114" t="str">
        <x:v>Deliverability</x:v>
      </x:c>
      <x:c r="B34" s="114" t="str">
        <x:v>SPF and DKIM authentication pass</x:v>
      </x:c>
      <x:c r="C34" s="114" t="str">
        <x:v>The active Klaviyo sending setup authenticates correctly; DNS records are valid and the sending domain is not disconnected.</x:v>
      </x:c>
      <x:c r="D34" s="114" t="str">
        <x:v>Critical</x:v>
      </x:c>
      <x:c r="E34" s="114" t="str">
        <x:v>With a Klaviyo branded sending domain, the required setup enables SPF/DKIM authentication.</x:v>
      </x:c>
      <x:c r="F34" s="114" t="str"/>
      <x:c r="G34" s="114" t="str">
        <x:f>IF(F34="Pass",2,IF(F34="Needs work",1,IF(F34="Missing",0,"")))</x:f>
      </x:c>
      <x:c r="H34" s="114" t="str"/>
    </x:row>
    <x:row r="35" ht="66" customHeight="1">
      <x:c r="A35" s="114" t="str">
        <x:v>Deliverability</x:v>
      </x:c>
      <x:c r="B35" s="114" t="str">
        <x:v>DMARC exists and aligns with the From domain</x:v>
      </x:c>
      <x:c r="C35" s="114" t="str">
        <x:v>A valid DMARC record is present and the root domain used for sending is aligned; at minimum, monitoring policy is intentionally configured.</x:v>
      </x:c>
      <x:c r="D35" s="114" t="str">
        <x:v>Critical</x:v>
      </x:c>
      <x:c r="E35" s="114" t="str">
        <x:v>DMARC is configured outside Klaviyo and is part of modern sender requirements.</x:v>
      </x:c>
      <x:c r="F35" s="114" t="str"/>
      <x:c r="G35" s="114" t="str">
        <x:f>IF(F35="Pass",2,IF(F35="Needs work",1,IF(F35="Missing",0,"")))</x:f>
      </x:c>
      <x:c r="H35" s="114" t="str"/>
    </x:row>
    <x:row r="36" ht="66" customHeight="1">
      <x:c r="A36" s="114" t="str">
        <x:v>Deliverability</x:v>
      </x:c>
      <x:c r="B36" s="114" t="str">
        <x:v>Bounce rate is healthy</x:v>
      </x:c>
      <x:c r="C36" s="114" t="str">
        <x:v>Recent sends are generally below 1% bounce rate, with spikes investigated by audience/source/provider.</x:v>
      </x:c>
      <x:c r="D36" s="114" t="str">
        <x:v>Critical</x:v>
      </x:c>
      <x:c r="E36" s="114" t="str">
        <x:v>Klaviyo classifies &lt;1% as healthy.</x:v>
      </x:c>
      <x:c r="F36" s="114" t="str"/>
      <x:c r="G36" s="114" t="str">
        <x:f>IF(F36="Pass",2,IF(F36="Needs work",1,IF(F36="Missing",0,"")))</x:f>
      </x:c>
      <x:c r="H36" s="114" t="str"/>
    </x:row>
    <x:row r="37" ht="66" customHeight="1">
      <x:c r="A37" s="114" t="str">
        <x:v>Deliverability</x:v>
      </x:c>
      <x:c r="B37" s="114" t="str">
        <x:v>Unsubscribe rate is healthy</x:v>
      </x:c>
      <x:c r="C37" s="114" t="str">
        <x:v>Recent campaigns are generally below 0.3% unsubscribe rate, with higher rates investigated in context.</x:v>
      </x:c>
      <x:c r="D37" s="114" t="str">
        <x:v>High</x:v>
      </x:c>
      <x:c r="E37" s="114" t="str">
        <x:v>Klaviyo classifies &lt;0.3% as healthy.</x:v>
      </x:c>
      <x:c r="F37" s="114" t="str"/>
      <x:c r="G37" s="114" t="str">
        <x:f>IF(F37="Pass",2,IF(F37="Needs work",1,IF(F37="Missing",0,"")))</x:f>
      </x:c>
      <x:c r="H37" s="114" t="str"/>
    </x:row>
    <x:row r="38" ht="66" customHeight="1">
      <x:c r="A38" s="114" t="str">
        <x:v>Deliverability</x:v>
      </x:c>
      <x:c r="B38" s="114" t="str">
        <x:v>Spam complaint rate is healthy</x:v>
      </x:c>
      <x:c r="C38" s="114" t="str">
        <x:v>Spam complaints are kept as close to zero as possible and generally below 0.01%; Google Postmaster data is checked when relevant.</x:v>
      </x:c>
      <x:c r="D38" s="114" t="str">
        <x:v>Critical</x:v>
      </x:c>
      <x:c r="E38" s="114" t="str">
        <x:v>Klaviyo classifies &lt;0.01% as healthy; even small complaint rates matter.</x:v>
      </x:c>
      <x:c r="F38" s="114" t="str"/>
      <x:c r="G38" s="114" t="str">
        <x:f>IF(F38="Pass",2,IF(F38="Needs work",1,IF(F38="Missing",0,"")))</x:f>
      </x:c>
      <x:c r="H38" s="114" t="str"/>
    </x:row>
    <x:row r="39" ht="66" customHeight="1">
      <x:c r="A39" s="114" t="str">
        <x:v>Deliverability</x:v>
      </x:c>
      <x:c r="B39" s="114" t="str">
        <x:v>Engagement performance is monitored</x:v>
      </x:c>
      <x:c r="C39" s="114" t="str">
        <x:v>Open and click performance are reviewed by campaign/flow and over time; as a broad Klaviyo health reference, &gt;33% opens and &gt;1.2% clicks are healthy.</x:v>
      </x:c>
      <x:c r="D39" s="114" t="str">
        <x:v>High</x:v>
      </x:c>
      <x:c r="E39" s="114" t="str">
        <x:v>Industry and audience context matters, so use these as reference thresholds, not guarantees.</x:v>
      </x:c>
      <x:c r="F39" s="114" t="str"/>
      <x:c r="G39" s="114" t="str">
        <x:f>IF(F39="Pass",2,IF(F39="Needs work",1,IF(F39="Missing",0,"")))</x:f>
      </x:c>
      <x:c r="H39" s="114" t="str"/>
    </x:row>
    <x:row r="40" ht="66" customHeight="1">
      <x:c r="A40" s="114" t="str">
        <x:v>Deliverability</x:v>
      </x:c>
      <x:c r="B40" s="114" t="str">
        <x:v>Sender reputation is actively monitored</x:v>
      </x:c>
      <x:c r="C40" s="114" t="str">
        <x:v>Klaviyo Deliverability Hub and, where useful, Google Postmaster/provider-level data are reviewed instead of assuming inbox placement is fine.</x:v>
      </x:c>
      <x:c r="D40" s="114" t="str">
        <x:v>High</x:v>
      </x:c>
      <x:c r="E40" s="114" t="str">
        <x:v>Delivered does not necessarily mean primary inbox.</x:v>
      </x:c>
      <x:c r="F40" s="114" t="str"/>
      <x:c r="G40" s="114" t="str">
        <x:f>IF(F40="Pass",2,IF(F40="Needs work",1,IF(F40="Missing",0,"")))</x:f>
      </x:c>
      <x:c r="H40" s="114" t="str"/>
    </x:row>
    <x:row r="41" ht="66" customHeight="1">
      <x:c r="A41" s="114" t="str">
        <x:v>Deliverability</x:v>
      </x:c>
      <x:c r="B41" s="114" t="str">
        <x:v>Volume changes and warming are controlled</x:v>
      </x:c>
      <x:c r="C41" s="114" t="str">
        <x:v>New domains/accounts or major audience expansions are ramped intentionally; sudden large jumps in volume and risky win-back sends are avoided.</x:v>
      </x:c>
      <x:c r="D41" s="114" t="str">
        <x:v>High</x:v>
      </x:c>
      <x:c r="E41" s="114" t="str">
        <x:v>Warming and engagement quality materially affect sender reputation.</x:v>
      </x:c>
      <x:c r="F41" s="114" t="str"/>
      <x:c r="G41" s="114" t="str">
        <x:f>IF(F41="Pass",2,IF(F41="Needs work",1,IF(F41="Missing",0,"")))</x:f>
      </x:c>
      <x:c r="H41" s="114" t="str"/>
    </x:row>
  </x:sheetData>
  <x:mergeCells>
    <x:mergeCell ref="A1:H2"/>
    <x:mergeCell ref="A3:H3"/>
  </x:mergeCells>
  <x:conditionalFormatting sqref="F6:F41">
    <x:cfRule type="expression" dxfId="7" priority="8">
      <x:formula>F6="Pass"</x:formula>
    </x:cfRule>
    <x:cfRule type="expression" dxfId="8" priority="9">
      <x:formula>F6="Needs work"</x:formula>
    </x:cfRule>
    <x:cfRule type="expression" dxfId="9" priority="10">
      <x:formula>F6="Missing"</x:formula>
    </x:cfRule>
    <x:cfRule type="expression" dxfId="10" priority="11">
      <x:formula>F6="N/A"</x:formula>
    </x:cfRule>
  </x:conditionalFormatting>
  <x:conditionalFormatting sqref="D6:D41">
    <x:cfRule type="expression" dxfId="11" priority="12">
      <x:formula>D6="Critical"</x:formula>
    </x:cfRule>
    <x:cfRule type="expression" dxfId="12" priority="13">
      <x:formula>D6="High"</x:formula>
    </x:cfRule>
    <x:cfRule type="expression" dxfId="13" priority="14">
      <x:formula>D6="Medium"</x:formula>
    </x:cfRule>
  </x:conditionalFormatting>
  <x:dataValidations count="1">
    <x:dataValidation type="list" sqref="F6:F41">
      <x:formula1>"Pass,Needs work,Missing,N/A"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f83a901db54e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70" hidden="0" customWidth="1"/>
    <x:col min="4" max="4" width="42" hidden="0" customWidth="1"/>
  </x:cols>
  <x:sheetData>
    <x:row r="1">
      <x:c r="A1" s="136" t="str">
        <x:v>BENCHMARKS &amp; SOURCE NOTES</x:v>
      </x:c>
      <x:c r="B1" s="136"/>
      <x:c r="C1" s="136"/>
      <x:c r="D1" s="136"/>
    </x:row>
    <x:row r="2">
      <x:c r="A2" s="136"/>
      <x:c r="B2" s="136"/>
      <x:c r="C2" s="136"/>
      <x:c r="D2" s="136"/>
    </x:row>
    <x:row r="3">
      <x:c r="A3" s="138" t="str">
        <x:v>Use benchmarks as diagnostic signals, not universal targets. Industry, list age, acquisition source, send frequency and audience mix matter.</x:v>
      </x:c>
      <x:c r="B3" s="138"/>
      <x:c r="C3" s="138"/>
      <x:c r="D3" s="138"/>
    </x:row>
    <x:row r="5">
      <x:c r="A5" s="139" t="str">
        <x:v>Metric</x:v>
      </x:c>
      <x:c r="B5" s="139" t="str">
        <x:v>Healthy reference</x:v>
      </x:c>
      <x:c r="C5" s="139" t="str">
        <x:v>Use it for</x:v>
      </x:c>
      <x:c r="D5" s="139" t="str">
        <x:v>Important note</x:v>
      </x:c>
    </x:row>
    <x:row r="6">
      <x:c r="A6" t="str">
        <x:v>Bounce rate</x:v>
      </x:c>
      <x:c r="B6" t="str">
        <x:v>&lt; 1.0%</x:v>
      </x:c>
      <x:c r="C6" t="str">
        <x:v>List quality / deliverability</x:v>
      </x:c>
      <x:c r="D6" t="str">
        <x:v>Investigate spikes by source and inbox provider.</x:v>
      </x:c>
    </x:row>
    <x:row r="7">
      <x:c r="A7" t="str">
        <x:v>Unsubscribe rate</x:v>
      </x:c>
      <x:c r="B7" t="str">
        <x:v>&lt; 0.3%</x:v>
      </x:c>
      <x:c r="C7" t="str">
        <x:v>Message-market fit / frequency</x:v>
      </x:c>
      <x:c r="D7" t="str">
        <x:v>Judge in context, but sustained elevated rates need action.</x:v>
      </x:c>
    </x:row>
    <x:row r="8">
      <x:c r="A8" t="str">
        <x:v>Spam complaint rate</x:v>
      </x:c>
      <x:c r="B8" t="str">
        <x:v>&lt; 0.01%</x:v>
      </x:c>
      <x:c r="C8" t="str">
        <x:v>Sender reputation</x:v>
      </x:c>
      <x:c r="D8" t="str">
        <x:v>Aim as close to zero as possible.</x:v>
      </x:c>
    </x:row>
    <x:row r="9">
      <x:c r="A9" t="str">
        <x:v>Open rate</x:v>
      </x:c>
      <x:c r="B9" t="str">
        <x:v>&gt; 33%</x:v>
      </x:c>
      <x:c r="C9" t="str">
        <x:v>Engagement reference</x:v>
      </x:c>
      <x:c r="D9" t="str">
        <x:v>Useful as a directional signal; not a revenue KPI.</x:v>
      </x:c>
    </x:row>
    <x:row r="10">
      <x:c r="A10" t="str">
        <x:v>Click rate</x:v>
      </x:c>
      <x:c r="B10" t="str">
        <x:v>&gt; 1.2%</x:v>
      </x:c>
      <x:c r="C10" t="str">
        <x:v>Content / CTA engagement</x:v>
      </x:c>
      <x:c r="D10" t="str">
        <x:v>Compare by audience and campaign type, not only account-wide.</x:v>
      </x:c>
    </x:row>
    <x:row r="13">
      <x:c r="A13" s="139" t="str">
        <x:v>Source</x:v>
      </x:c>
      <x:c r="B13" s="139" t="str">
        <x:v>What it supports</x:v>
      </x:c>
      <x:c r="C13" s="139" t="str">
        <x:v>URL</x:v>
      </x:c>
    </x:row>
    <x:row r="14">
      <x:c r="A14" s="72" t="str">
        <x:v>Deliverability health thresholds</x:v>
      </x:c>
      <x:c r="B14" s="72" t="str">
        <x:v>Bounce &lt;1%, unsubscribe &lt;0.3%, spam complaint &lt;0.01%, open &gt;33%, click &gt;1.2% are Klaviyo 'healthy' reference points.</x:v>
      </x:c>
      <x:c r="C14" s="72" t="str">
        <x:v>https://help.klaviyo.com/hc/en-us/articles/12695416712219</x:v>
      </x:c>
    </x:row>
    <x:row r="15">
      <x:c r="A15" s="72" t="str">
        <x:v>Deliverability monitoring</x:v>
      </x:c>
      <x:c r="B15" s="72" t="str">
        <x:v>Klaviyo guidance on negative engagement thresholds, list hygiene, and monitoring performance.</x:v>
      </x:c>
      <x:c r="C15" s="72" t="str">
        <x:v>https://help.klaviyo.com/hc/en-us/articles/115000201131</x:v>
      </x:c>
    </x:row>
    <x:row r="16">
      <x:c r="A16" s="72" t="str">
        <x:v>Branded sending domain</x:v>
      </x:c>
      <x:c r="B16" s="72" t="str">
        <x:v>Current Klaviyo setup guidance for branded/dedicated sending domains.</x:v>
      </x:c>
      <x:c r="C16" s="72" t="str">
        <x:v>https://help.klaviyo.com/hc/en-us/articles/115000357752</x:v>
      </x:c>
    </x:row>
    <x:row r="17">
      <x:c r="A17" s="72" t="str">
        <x:v>Email authentication</x:v>
      </x:c>
      <x:c r="B17" s="72" t="str">
        <x:v>Klaviyo guidance on SPF, DKIM, and DMARC; DMARC is configured externally.</x:v>
      </x:c>
      <x:c r="C17" s="72" t="str">
        <x:v>https://help.klaviyo.com/hc/en-us/articles/4402601857307</x:v>
      </x:c>
    </x:row>
    <x:row r="18">
      <x:c r="A18" s="72" t="str">
        <x:v>Abandoned cart</x:v>
      </x:c>
      <x:c r="B18" s="72" t="str">
        <x:v>Klaviyo recommends 2–3 abandoned-cart messages as a starting point and stresses purchaser exclusions.</x:v>
      </x:c>
      <x:c r="C18" s="72" t="str">
        <x:v>https://help.klaviyo.com/hc/en-us/articles/115002779411</x:v>
      </x:c>
    </x:row>
    <x:row r="19">
      <x:c r="A19" s="72" t="str">
        <x:v>Browse abandonment</x:v>
      </x:c>
      <x:c r="B19" s="72" t="str">
        <x:v>Browse messages should be a lighter touch and include filters that prevent overlap with cart/checkout behavior.</x:v>
      </x:c>
      <x:c r="C19" s="72" t="str">
        <x:v>https://help.klaviyo.com/hc/en-us/articles/115002775252</x:v>
      </x:c>
    </x:row>
    <x:row r="20">
      <x:c r="A20" s="72" t="str">
        <x:v>Core flows</x:v>
      </x:c>
      <x:c r="B20" s="72" t="str">
        <x:v>Klaviyo's suggested high-impact flow sequence includes Welcome, Abandoned Cart, Post-Purchase, and Winback.</x:v>
      </x:c>
      <x:c r="C20" s="72" t="str">
        <x:v>https://help.klaviyo.com/hc/en-us/articles/115002774932</x:v>
      </x:c>
    </x:row>
    <x:row r="21">
      <x:c r="A21" s="72" t="str">
        <x:v>Sunset flow</x:v>
      </x:c>
      <x:c r="B21" s="72" t="str">
        <x:v>Klaviyo guidance on sunsetting and suppressing long-term unengaged subscribers.</x:v>
      </x:c>
      <x:c r="C21" s="72" t="str">
        <x:v>https://help.klaviyo.com/hc/en-us/articles/360017518492</x:v>
      </x:c>
    </x:row>
    <x:row r="22">
      <x:c r="A22" s="72" t="str">
        <x:v>Flow frequency / timing</x:v>
      </x:c>
      <x:c r="B22" s="72" t="str">
        <x:v>Klaviyo reference timing and guidance to test flow delays rather than blindly keeping defaults.</x:v>
      </x:c>
      <x:c r="C22" s="72" t="str">
        <x:v>https://help.klaviyo.com/hc/en-us/articles/10948996125083</x:v>
      </x:c>
    </x:row>
    <x:row r="25">
      <x:c r="A25" s="92" t="str">
        <x:v>Editorial note: The checklist intentionally avoids treating every tactic as mandatory. Replenishment, VIP logic, exact flow length and timing depend on the business model. Use N/A where a control genuinely does not apply; do not use N/A simply because it has not been built yet.</x:v>
      </x:c>
      <x:c r="B25" s="92"/>
      <x:c r="C25" s="92"/>
      <x:c r="D25" s="92"/>
    </x:row>
    <x:row r="26">
      <x:c r="A26" s="92"/>
      <x:c r="B26" s="92"/>
      <x:c r="C26" s="92"/>
      <x:c r="D26" s="92"/>
    </x:row>
    <x:row r="27">
      <x:c r="A27" s="92"/>
      <x:c r="B27" s="92"/>
      <x:c r="C27" s="92"/>
      <x:c r="D27" s="92"/>
    </x:row>
  </x:sheetData>
  <x:mergeCells>
    <x:mergeCell ref="A1:D2"/>
    <x:mergeCell ref="A3:D3"/>
    <x:mergeCell ref="A25:D27"/>
  </x:mergeCells>
  <x:pageMargins left="0.7" right="0.7" top="0.75" bottom="0.75" header="0.3" footer="0.3"/>
</x:worksheet>
</file>